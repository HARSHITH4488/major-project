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irav\Desktop\New folder\"/>
    </mc:Choice>
  </mc:AlternateContent>
  <bookViews>
    <workbookView xWindow="0" yWindow="0" windowWidth="22500" windowHeight="10875"/>
  </bookViews>
  <sheets>
    <sheet name="bathrooms" sheetId="2" r:id="rId1"/>
  </sheets>
  <calcPr calcId="152511"/>
</workbook>
</file>

<file path=xl/calcChain.xml><?xml version="1.0" encoding="utf-8"?>
<calcChain xmlns="http://schemas.openxmlformats.org/spreadsheetml/2006/main">
  <c r="Q25" i="2" l="1"/>
  <c r="B55" i="2" l="1"/>
  <c r="B62" i="2" s="1"/>
  <c r="I26" i="2" l="1"/>
  <c r="I21" i="2"/>
  <c r="I19" i="2"/>
  <c r="I42" i="2" s="1"/>
  <c r="D21" i="2"/>
  <c r="N26" i="2"/>
  <c r="N30" i="2"/>
  <c r="D27" i="2"/>
  <c r="D23" i="2"/>
  <c r="D19" i="2"/>
  <c r="N42" i="2" l="1"/>
  <c r="D42" i="2"/>
  <c r="R19" i="2" l="1"/>
  <c r="R20" i="2"/>
  <c r="R23" i="2" s="1"/>
  <c r="Q27" i="2" s="1"/>
</calcChain>
</file>

<file path=xl/sharedStrings.xml><?xml version="1.0" encoding="utf-8"?>
<sst xmlns="http://schemas.openxmlformats.org/spreadsheetml/2006/main" count="90" uniqueCount="76">
  <si>
    <t>Estimation For</t>
  </si>
  <si>
    <t>GST No:29AJTPB4178L1ZI</t>
  </si>
  <si>
    <t>sft</t>
  </si>
  <si>
    <t>rate</t>
  </si>
  <si>
    <t>amt</t>
  </si>
  <si>
    <t>Sub total</t>
  </si>
  <si>
    <t>Design &amp; execution</t>
  </si>
  <si>
    <t>Jakkur, Bangalore</t>
  </si>
  <si>
    <t>removal of debris</t>
  </si>
  <si>
    <t>Arvind Vishwanathan</t>
  </si>
  <si>
    <t>GST on online tranfers</t>
  </si>
  <si>
    <t>old tiles chipping</t>
  </si>
  <si>
    <t>wash basin counter cutting work</t>
  </si>
  <si>
    <t>old sanitarylines and water line removal</t>
  </si>
  <si>
    <t>wall rough plastering</t>
  </si>
  <si>
    <t>new waterline work</t>
  </si>
  <si>
    <t>new wasteline work</t>
  </si>
  <si>
    <t>ledge wall for wc</t>
  </si>
  <si>
    <t>waterproofing of floor</t>
  </si>
  <si>
    <t>new wall tile and floor tile laying</t>
  </si>
  <si>
    <t>final fittings and fixtures</t>
  </si>
  <si>
    <t>electrical materials</t>
  </si>
  <si>
    <t>electrical labour</t>
  </si>
  <si>
    <t>glass partition</t>
  </si>
  <si>
    <t xml:space="preserve">Main BATHROOM </t>
  </si>
  <si>
    <t xml:space="preserve">Blue BATHROOM </t>
  </si>
  <si>
    <t xml:space="preserve">Guest BATHROOM </t>
  </si>
  <si>
    <t>accessories(towel rod towel ring door hook,toilet roll holder,corner shelf,folding seat</t>
  </si>
  <si>
    <t>linen closet</t>
  </si>
  <si>
    <t>old floor tiles -wall 1 line tile chipping</t>
  </si>
  <si>
    <t>plumbing for wc</t>
  </si>
  <si>
    <t>old tiles chipping for WC change</t>
  </si>
  <si>
    <t>final fittings of fixtures</t>
  </si>
  <si>
    <t>mirror and light</t>
  </si>
  <si>
    <t>waterproofing of floor near WC</t>
  </si>
  <si>
    <t>final fitting of fixtures</t>
  </si>
  <si>
    <t>grouting of walls and chemical wash full bathroom</t>
  </si>
  <si>
    <t>old sanitarylines and water line removal for WC</t>
  </si>
  <si>
    <t>new wasteline work with core boring</t>
  </si>
  <si>
    <t>wall to wall mirror with light</t>
  </si>
  <si>
    <t xml:space="preserve">new waterline work </t>
  </si>
  <si>
    <t>carpenter</t>
  </si>
  <si>
    <t>record box painting</t>
  </si>
  <si>
    <t>BALANCE DUE</t>
  </si>
  <si>
    <t>JAGADISH</t>
  </si>
  <si>
    <t>DEEPIKA</t>
  </si>
  <si>
    <t>TOTAL</t>
  </si>
  <si>
    <t>accessories(towel rod towel ring door hook,toilet roll holder,corner shelf.</t>
  </si>
  <si>
    <t>Black granite work</t>
  </si>
  <si>
    <t>Ledge wall work</t>
  </si>
  <si>
    <t>wash basin fixing works</t>
  </si>
  <si>
    <t>ledge wall work</t>
  </si>
  <si>
    <t>grinate work</t>
  </si>
  <si>
    <t>Gpay destination designs</t>
  </si>
  <si>
    <t>Ventilator glass</t>
  </si>
  <si>
    <t xml:space="preserve">TOTAL </t>
  </si>
  <si>
    <t>GST purchases</t>
  </si>
  <si>
    <t>top mount basin</t>
  </si>
  <si>
    <t>Basin ground floor</t>
  </si>
  <si>
    <t>blue tiles</t>
  </si>
  <si>
    <t>WC</t>
  </si>
  <si>
    <t>Tiles total amount</t>
  </si>
  <si>
    <t>beech wood frame and beading</t>
  </si>
  <si>
    <t>Taps/shower head etc.</t>
  </si>
  <si>
    <t xml:space="preserve">Mirror </t>
  </si>
  <si>
    <t>Misc</t>
  </si>
  <si>
    <t>painting</t>
  </si>
  <si>
    <t>One ceiling light replacement</t>
  </si>
  <si>
    <t>under sink cabinet for counter</t>
  </si>
  <si>
    <t>granite work</t>
  </si>
  <si>
    <t>Gpay(9590086316)</t>
  </si>
  <si>
    <t>Advance received</t>
  </si>
  <si>
    <t>Total advance received</t>
  </si>
  <si>
    <t>Transfer (TO )A/C NO: 155121330609(ROUNDED OFF)</t>
  </si>
  <si>
    <t>Date: 02-4-2026</t>
  </si>
  <si>
    <t xml:space="preserve">Transfer to destination designs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</si>
</sst>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₹&quot;\ * #,##0.00_ ;_ &quot;₹&quot;\ * \-#,##0.00_ ;_ &quot;₹&quot;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  <fill>
      <patternFill patternType="solid">
        <fgColor rgb="FFFFCC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6" fillId="9" borderId="10" applyNumberFormat="0" applyAlignment="0" applyProtection="0"/>
    <xf numFmtId="0" fontId="8" fillId="11" borderId="12" applyNumberFormat="0" applyAlignment="0" applyProtection="0"/>
  </cellStyleXfs>
  <cellXfs count="68">
    <xf numFmtId="0" fontId="0" fillId="0" borderId="0" xfId="0"/>
    <xf numFmtId="0" fontId="4" fillId="4" borderId="9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1" fillId="0" borderId="0" xfId="0" applyFont="1"/>
    <xf numFmtId="0" fontId="1" fillId="6" borderId="0" xfId="0" applyFont="1" applyFill="1"/>
    <xf numFmtId="9" fontId="1" fillId="0" borderId="0" xfId="0" applyNumberFormat="1" applyFont="1"/>
    <xf numFmtId="0" fontId="5" fillId="4" borderId="9" xfId="0" applyFont="1" applyFill="1" applyBorder="1" applyAlignment="1">
      <alignment wrapText="1"/>
    </xf>
    <xf numFmtId="0" fontId="1" fillId="4" borderId="9" xfId="0" applyFont="1" applyFill="1" applyBorder="1"/>
    <xf numFmtId="0" fontId="1" fillId="4" borderId="9" xfId="0" applyFont="1" applyFill="1" applyBorder="1" applyAlignment="1">
      <alignment horizontal="right"/>
    </xf>
    <xf numFmtId="0" fontId="1" fillId="5" borderId="0" xfId="0" applyFont="1" applyFill="1"/>
    <xf numFmtId="9" fontId="1" fillId="7" borderId="0" xfId="0" applyNumberFormat="1" applyFont="1" applyFill="1"/>
    <xf numFmtId="0" fontId="0" fillId="0" borderId="0" xfId="0"/>
    <xf numFmtId="0" fontId="0" fillId="2" borderId="2" xfId="0" applyFill="1" applyBorder="1"/>
    <xf numFmtId="0" fontId="2" fillId="2" borderId="3" xfId="0" applyFont="1" applyFill="1" applyBorder="1"/>
    <xf numFmtId="0" fontId="0" fillId="2" borderId="0" xfId="0" applyFill="1"/>
    <xf numFmtId="0" fontId="0" fillId="2" borderId="5" xfId="0" applyFill="1" applyBorder="1"/>
    <xf numFmtId="0" fontId="3" fillId="2" borderId="5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5" borderId="0" xfId="0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ill="1" applyAlignment="1">
      <alignment horizontal="right"/>
    </xf>
    <xf numFmtId="0" fontId="4" fillId="0" borderId="0" xfId="0" applyFont="1" applyFill="1"/>
    <xf numFmtId="0" fontId="0" fillId="8" borderId="0" xfId="0" applyFill="1" applyAlignment="1">
      <alignment wrapText="1"/>
    </xf>
    <xf numFmtId="0" fontId="0" fillId="8" borderId="0" xfId="0" applyFill="1"/>
    <xf numFmtId="44" fontId="1" fillId="5" borderId="0" xfId="0" applyNumberFormat="1" applyFont="1" applyFill="1" applyAlignment="1">
      <alignment horizontal="center"/>
    </xf>
    <xf numFmtId="44" fontId="0" fillId="0" borderId="0" xfId="0" applyNumberFormat="1" applyFill="1"/>
    <xf numFmtId="44" fontId="0" fillId="0" borderId="0" xfId="0" applyNumberFormat="1"/>
    <xf numFmtId="44" fontId="0" fillId="0" borderId="0" xfId="0" applyNumberFormat="1" applyFont="1" applyFill="1"/>
    <xf numFmtId="44" fontId="0" fillId="0" borderId="0" xfId="0" applyNumberFormat="1" applyFill="1" applyAlignment="1">
      <alignment wrapText="1"/>
    </xf>
    <xf numFmtId="44" fontId="0" fillId="0" borderId="0" xfId="0" applyNumberFormat="1" applyFill="1" applyAlignment="1">
      <alignment horizontal="right"/>
    </xf>
    <xf numFmtId="44" fontId="4" fillId="8" borderId="0" xfId="0" applyNumberFormat="1" applyFont="1" applyFill="1"/>
    <xf numFmtId="44" fontId="1" fillId="6" borderId="0" xfId="0" applyNumberFormat="1" applyFont="1" applyFill="1"/>
    <xf numFmtId="44" fontId="1" fillId="0" borderId="0" xfId="0" applyNumberFormat="1" applyFont="1"/>
    <xf numFmtId="44" fontId="1" fillId="7" borderId="0" xfId="0" applyNumberFormat="1" applyFont="1" applyFill="1"/>
    <xf numFmtId="44" fontId="0" fillId="5" borderId="0" xfId="0" applyNumberFormat="1" applyFill="1"/>
    <xf numFmtId="0" fontId="6" fillId="9" borderId="10" xfId="1"/>
    <xf numFmtId="44" fontId="6" fillId="9" borderId="10" xfId="1" applyNumberFormat="1"/>
    <xf numFmtId="44" fontId="0" fillId="10" borderId="0" xfId="0" applyNumberFormat="1" applyFill="1"/>
    <xf numFmtId="0" fontId="7" fillId="0" borderId="0" xfId="0" applyFont="1"/>
    <xf numFmtId="0" fontId="6" fillId="9" borderId="11" xfId="1" applyBorder="1"/>
    <xf numFmtId="44" fontId="6" fillId="9" borderId="11" xfId="1" applyNumberFormat="1" applyBorder="1"/>
    <xf numFmtId="0" fontId="8" fillId="12" borderId="12" xfId="2" applyFill="1"/>
    <xf numFmtId="0" fontId="1" fillId="12" borderId="12" xfId="2" applyFont="1" applyFill="1"/>
    <xf numFmtId="44" fontId="4" fillId="0" borderId="0" xfId="0" applyNumberFormat="1" applyFont="1" applyFill="1"/>
    <xf numFmtId="44" fontId="1" fillId="12" borderId="12" xfId="2" applyNumberFormat="1" applyFont="1" applyFill="1"/>
    <xf numFmtId="0" fontId="0" fillId="0" borderId="0" xfId="0"/>
    <xf numFmtId="44" fontId="0" fillId="13" borderId="0" xfId="0" applyNumberFormat="1" applyFill="1"/>
    <xf numFmtId="44" fontId="0" fillId="14" borderId="0" xfId="0" applyNumberFormat="1" applyFill="1"/>
    <xf numFmtId="0" fontId="0" fillId="14" borderId="0" xfId="0" applyFill="1"/>
    <xf numFmtId="0" fontId="0" fillId="15" borderId="0" xfId="0" applyFill="1"/>
    <xf numFmtId="44" fontId="0" fillId="15" borderId="0" xfId="0" applyNumberFormat="1" applyFill="1"/>
    <xf numFmtId="0" fontId="6" fillId="9" borderId="13" xfId="1" applyBorder="1" applyAlignment="1">
      <alignment horizontal="center"/>
    </xf>
    <xf numFmtId="0" fontId="6" fillId="9" borderId="14" xfId="1" applyBorder="1" applyAlignment="1">
      <alignment horizontal="center"/>
    </xf>
    <xf numFmtId="0" fontId="0" fillId="0" borderId="0" xfId="0"/>
    <xf numFmtId="0" fontId="9" fillId="12" borderId="15" xfId="2" applyFont="1" applyFill="1" applyBorder="1" applyAlignment="1">
      <alignment horizontal="center" vertical="center"/>
    </xf>
    <xf numFmtId="0" fontId="9" fillId="12" borderId="16" xfId="2" applyFont="1" applyFill="1" applyBorder="1" applyAlignment="1">
      <alignment horizontal="center" vertical="center"/>
    </xf>
  </cellXfs>
  <cellStyles count="3">
    <cellStyle name="Input" xfId="2" builtinId="20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10123</xdr:rowOff>
    </xdr:from>
    <xdr:to>
      <xdr:col>0</xdr:col>
      <xdr:colOff>1046956</xdr:colOff>
      <xdr:row>8</xdr:row>
      <xdr:rowOff>12588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E3F25E4-A1F3-4D70-AFC8-CF8ACF4C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0623"/>
          <a:ext cx="1046956" cy="110736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</xdr:row>
      <xdr:rowOff>105707</xdr:rowOff>
    </xdr:from>
    <xdr:to>
      <xdr:col>3</xdr:col>
      <xdr:colOff>251479</xdr:colOff>
      <xdr:row>8</xdr:row>
      <xdr:rowOff>4683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5F392FFA-6019-4B1C-8728-B05642DFF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296207"/>
          <a:ext cx="1791867" cy="1003876"/>
        </a:xfrm>
        <a:prstGeom prst="rect">
          <a:avLst/>
        </a:prstGeom>
      </xdr:spPr>
    </xdr:pic>
    <xdr:clientData/>
  </xdr:twoCellAnchor>
  <xdr:twoCellAnchor editAs="oneCell">
    <xdr:from>
      <xdr:col>17</xdr:col>
      <xdr:colOff>67599</xdr:colOff>
      <xdr:row>27</xdr:row>
      <xdr:rowOff>7973</xdr:rowOff>
    </xdr:from>
    <xdr:to>
      <xdr:col>17</xdr:col>
      <xdr:colOff>1923677</xdr:colOff>
      <xdr:row>31</xdr:row>
      <xdr:rowOff>14042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36533" y="5115988"/>
          <a:ext cx="1856078" cy="734451"/>
        </a:xfrm>
        <a:prstGeom prst="rect">
          <a:avLst/>
        </a:prstGeom>
        <a:solidFill>
          <a:schemeClr val="accent2">
            <a:lumMod val="5000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76"/>
  <sheetViews>
    <sheetView tabSelected="1" zoomScale="48" workbookViewId="0">
      <selection activeCell="Q35" sqref="Q35"/>
    </sheetView>
  </sheetViews>
  <sheetFormatPr defaultRowHeight="14.25" x14ac:dyDescent="0.45"/>
  <cols>
    <col min="1" max="1" width="33.1328125" customWidth="1"/>
    <col min="2" max="2" width="18.1328125" customWidth="1"/>
    <col min="3" max="3" width="7.46484375" customWidth="1"/>
    <col min="4" max="4" width="19.59765625" customWidth="1"/>
    <col min="6" max="6" width="36.86328125" customWidth="1"/>
    <col min="9" max="9" width="17.06640625" customWidth="1"/>
    <col min="11" max="11" width="43.1328125" customWidth="1"/>
    <col min="12" max="12" width="17.33203125" customWidth="1"/>
    <col min="13" max="13" width="11.06640625" bestFit="1" customWidth="1"/>
    <col min="14" max="14" width="15.265625" customWidth="1"/>
    <col min="16" max="16" width="49.6640625" customWidth="1"/>
    <col min="17" max="17" width="21.06640625" customWidth="1"/>
    <col min="18" max="18" width="27.19921875" customWidth="1"/>
  </cols>
  <sheetData>
    <row r="2" spans="1:6" ht="14.65" thickBot="1" x14ac:dyDescent="0.5">
      <c r="A2" s="21"/>
      <c r="B2" s="12"/>
      <c r="C2" s="12"/>
      <c r="D2" s="12"/>
      <c r="E2" s="12"/>
      <c r="F2" s="21"/>
    </row>
    <row r="3" spans="1:6" x14ac:dyDescent="0.45">
      <c r="A3" s="22"/>
      <c r="B3" s="13"/>
      <c r="C3" s="13"/>
      <c r="D3" s="14"/>
      <c r="E3" s="27"/>
      <c r="F3" s="21"/>
    </row>
    <row r="4" spans="1:6" x14ac:dyDescent="0.45">
      <c r="A4" s="23"/>
      <c r="B4" s="15"/>
      <c r="C4" s="15"/>
      <c r="D4" s="16"/>
      <c r="E4" s="12"/>
      <c r="F4" s="21"/>
    </row>
    <row r="5" spans="1:6" x14ac:dyDescent="0.45">
      <c r="A5" s="23"/>
      <c r="B5" s="15"/>
      <c r="C5" s="15"/>
      <c r="D5" s="17"/>
      <c r="E5" s="28"/>
      <c r="F5" s="21"/>
    </row>
    <row r="6" spans="1:6" x14ac:dyDescent="0.45">
      <c r="A6" s="23"/>
      <c r="B6" s="15"/>
      <c r="C6" s="15"/>
      <c r="D6" s="16"/>
      <c r="E6" s="12"/>
      <c r="F6" s="21"/>
    </row>
    <row r="7" spans="1:6" x14ac:dyDescent="0.45">
      <c r="A7" s="23"/>
      <c r="B7" s="15"/>
      <c r="C7" s="15"/>
      <c r="D7" s="16"/>
      <c r="E7" s="12"/>
      <c r="F7" s="21"/>
    </row>
    <row r="8" spans="1:6" ht="14.65" thickBot="1" x14ac:dyDescent="0.5">
      <c r="A8" s="24"/>
      <c r="B8" s="18"/>
      <c r="C8" s="18"/>
      <c r="D8" s="19"/>
      <c r="E8" s="29"/>
      <c r="F8" s="21"/>
    </row>
    <row r="9" spans="1:6" x14ac:dyDescent="0.45">
      <c r="A9" s="25"/>
      <c r="B9" s="2"/>
      <c r="C9" s="2"/>
      <c r="D9" s="3"/>
      <c r="E9" s="29"/>
      <c r="F9" s="21"/>
    </row>
    <row r="10" spans="1:6" x14ac:dyDescent="0.45">
      <c r="A10" s="7" t="s">
        <v>0</v>
      </c>
      <c r="B10" s="8"/>
      <c r="C10" s="8"/>
      <c r="D10" s="9" t="s">
        <v>74</v>
      </c>
      <c r="E10" s="32"/>
      <c r="F10" s="21"/>
    </row>
    <row r="11" spans="1:6" x14ac:dyDescent="0.45">
      <c r="A11" s="7" t="s">
        <v>9</v>
      </c>
      <c r="B11" s="8"/>
      <c r="C11" s="8"/>
      <c r="D11" s="9" t="s">
        <v>1</v>
      </c>
      <c r="E11" s="32"/>
      <c r="F11" s="21"/>
    </row>
    <row r="12" spans="1:6" x14ac:dyDescent="0.45">
      <c r="A12" s="7" t="s">
        <v>7</v>
      </c>
      <c r="B12" s="8"/>
      <c r="C12" s="8"/>
      <c r="D12" s="1"/>
      <c r="E12" s="33"/>
      <c r="F12" s="21"/>
    </row>
    <row r="13" spans="1:6" x14ac:dyDescent="0.45">
      <c r="A13" s="12"/>
      <c r="B13" s="8"/>
      <c r="C13" s="8"/>
      <c r="D13" s="8"/>
      <c r="E13" s="29"/>
      <c r="F13" s="21"/>
    </row>
    <row r="14" spans="1:6" x14ac:dyDescent="0.45">
      <c r="A14" s="7"/>
      <c r="B14" s="8"/>
      <c r="C14" s="8"/>
      <c r="D14" s="8"/>
      <c r="E14" s="29"/>
      <c r="F14" s="21"/>
    </row>
    <row r="18" spans="1:18" x14ac:dyDescent="0.45">
      <c r="A18" s="26" t="s">
        <v>24</v>
      </c>
      <c r="B18" s="20" t="s">
        <v>2</v>
      </c>
      <c r="C18" s="20" t="s">
        <v>3</v>
      </c>
      <c r="D18" s="36" t="s">
        <v>4</v>
      </c>
      <c r="F18" s="26" t="s">
        <v>25</v>
      </c>
      <c r="G18" s="20" t="s">
        <v>2</v>
      </c>
      <c r="H18" s="20" t="s">
        <v>3</v>
      </c>
      <c r="I18" s="20" t="s">
        <v>4</v>
      </c>
      <c r="K18" s="26" t="s">
        <v>26</v>
      </c>
      <c r="L18" s="20" t="s">
        <v>2</v>
      </c>
      <c r="M18" s="20" t="s">
        <v>3</v>
      </c>
      <c r="N18" s="20" t="s">
        <v>4</v>
      </c>
    </row>
    <row r="19" spans="1:18" x14ac:dyDescent="0.45">
      <c r="A19" s="30" t="s">
        <v>11</v>
      </c>
      <c r="B19" s="29">
        <v>350</v>
      </c>
      <c r="C19" s="29">
        <v>80</v>
      </c>
      <c r="D19" s="37">
        <f>B19*C19</f>
        <v>28000</v>
      </c>
      <c r="E19" s="29"/>
      <c r="F19" s="30" t="s">
        <v>31</v>
      </c>
      <c r="G19" s="29">
        <v>30</v>
      </c>
      <c r="H19" s="29">
        <v>80</v>
      </c>
      <c r="I19" s="37">
        <f>G19*H19</f>
        <v>2400</v>
      </c>
      <c r="K19" s="30" t="s">
        <v>29</v>
      </c>
      <c r="L19" s="29"/>
      <c r="M19" s="29"/>
      <c r="N19" s="37">
        <v>14000</v>
      </c>
      <c r="P19" s="5" t="s">
        <v>5</v>
      </c>
      <c r="Q19" s="5"/>
      <c r="R19" s="43">
        <f>N42+I42+D42+B62</f>
        <v>756442</v>
      </c>
    </row>
    <row r="20" spans="1:18" ht="28.5" x14ac:dyDescent="0.45">
      <c r="A20" s="30" t="s">
        <v>12</v>
      </c>
      <c r="B20" s="29"/>
      <c r="C20" s="29"/>
      <c r="D20" s="37">
        <v>3000</v>
      </c>
      <c r="F20" s="30" t="s">
        <v>37</v>
      </c>
      <c r="G20" s="29"/>
      <c r="H20" s="29"/>
      <c r="I20" s="37">
        <v>4000</v>
      </c>
      <c r="K20" s="30" t="s">
        <v>50</v>
      </c>
      <c r="L20" s="29"/>
      <c r="M20" s="29"/>
      <c r="N20" s="37">
        <v>3000</v>
      </c>
      <c r="P20" s="4" t="s">
        <v>6</v>
      </c>
      <c r="Q20" s="6">
        <v>0.1</v>
      </c>
      <c r="R20" s="44">
        <f>R19*0.1</f>
        <v>75644.2</v>
      </c>
    </row>
    <row r="21" spans="1:18" x14ac:dyDescent="0.45">
      <c r="A21" s="12" t="s">
        <v>28</v>
      </c>
      <c r="B21" s="12">
        <v>12</v>
      </c>
      <c r="C21" s="12">
        <v>2000</v>
      </c>
      <c r="D21" s="38">
        <f>B21*C21</f>
        <v>24000</v>
      </c>
      <c r="F21" s="30" t="s">
        <v>14</v>
      </c>
      <c r="G21" s="29">
        <v>30</v>
      </c>
      <c r="H21" s="29">
        <v>90</v>
      </c>
      <c r="I21" s="39">
        <f>G21*H21</f>
        <v>2700</v>
      </c>
      <c r="K21" s="31" t="s">
        <v>30</v>
      </c>
      <c r="L21" s="29"/>
      <c r="M21" s="29"/>
      <c r="N21" s="40">
        <v>4500</v>
      </c>
      <c r="P21" s="4"/>
      <c r="Q21" s="4"/>
      <c r="R21" s="38"/>
    </row>
    <row r="22" spans="1:18" x14ac:dyDescent="0.45">
      <c r="A22" s="30" t="s">
        <v>13</v>
      </c>
      <c r="B22" s="29"/>
      <c r="C22" s="29"/>
      <c r="D22" s="37">
        <v>8000</v>
      </c>
      <c r="F22" s="30" t="s">
        <v>38</v>
      </c>
      <c r="G22" s="29"/>
      <c r="H22" s="29"/>
      <c r="I22" s="37">
        <v>8000</v>
      </c>
      <c r="K22" s="30" t="s">
        <v>38</v>
      </c>
      <c r="L22" s="29"/>
      <c r="M22" s="29"/>
      <c r="N22" s="37">
        <v>28000</v>
      </c>
      <c r="P22" s="4" t="s">
        <v>10</v>
      </c>
      <c r="Q22" s="6">
        <v>0.18</v>
      </c>
      <c r="R22" s="44">
        <v>31186</v>
      </c>
    </row>
    <row r="23" spans="1:18" x14ac:dyDescent="0.45">
      <c r="A23" s="30" t="s">
        <v>14</v>
      </c>
      <c r="B23" s="29">
        <v>300</v>
      </c>
      <c r="C23" s="29">
        <v>120</v>
      </c>
      <c r="D23" s="39">
        <f>B23*C23</f>
        <v>36000</v>
      </c>
      <c r="F23" s="30" t="s">
        <v>40</v>
      </c>
      <c r="G23" s="29"/>
      <c r="H23" s="29"/>
      <c r="I23" s="37">
        <v>3000</v>
      </c>
      <c r="K23" s="30" t="s">
        <v>51</v>
      </c>
      <c r="L23" s="29"/>
      <c r="M23" s="29"/>
      <c r="N23" s="37">
        <v>5000</v>
      </c>
      <c r="P23" s="5" t="s">
        <v>55</v>
      </c>
      <c r="Q23" s="11"/>
      <c r="R23" s="45">
        <f>R19+R20+R22</f>
        <v>863272.2</v>
      </c>
    </row>
    <row r="24" spans="1:18" x14ac:dyDescent="0.45">
      <c r="A24" s="30" t="s">
        <v>15</v>
      </c>
      <c r="B24" s="29"/>
      <c r="C24" s="29"/>
      <c r="D24" s="37">
        <v>32000</v>
      </c>
      <c r="I24" s="38"/>
      <c r="N24" s="38"/>
    </row>
    <row r="25" spans="1:18" x14ac:dyDescent="0.45">
      <c r="A25" s="30" t="s">
        <v>16</v>
      </c>
      <c r="B25" s="29"/>
      <c r="C25" s="29"/>
      <c r="D25" s="37">
        <v>28000</v>
      </c>
      <c r="F25" s="30" t="s">
        <v>34</v>
      </c>
      <c r="G25" s="29"/>
      <c r="H25" s="29"/>
      <c r="I25" s="40">
        <v>2500</v>
      </c>
      <c r="K25" s="30" t="s">
        <v>18</v>
      </c>
      <c r="L25" s="29"/>
      <c r="M25" s="29"/>
      <c r="N25" s="40">
        <v>10000</v>
      </c>
      <c r="P25" s="4" t="s">
        <v>72</v>
      </c>
      <c r="Q25" s="46">
        <f>SUM(Q39:Q47)</f>
        <v>499050</v>
      </c>
    </row>
    <row r="26" spans="1:18" x14ac:dyDescent="0.45">
      <c r="A26" s="30" t="s">
        <v>18</v>
      </c>
      <c r="B26" s="29"/>
      <c r="C26" s="29"/>
      <c r="D26" s="40">
        <v>9000</v>
      </c>
      <c r="F26" s="30" t="s">
        <v>19</v>
      </c>
      <c r="G26" s="29">
        <v>30</v>
      </c>
      <c r="H26" s="29">
        <v>160</v>
      </c>
      <c r="I26" s="37">
        <f>G26*H26</f>
        <v>4800</v>
      </c>
      <c r="K26" s="30" t="s">
        <v>19</v>
      </c>
      <c r="L26" s="29">
        <v>120</v>
      </c>
      <c r="M26" s="29">
        <v>150</v>
      </c>
      <c r="N26" s="37">
        <f>L26*M26</f>
        <v>18000</v>
      </c>
    </row>
    <row r="27" spans="1:18" x14ac:dyDescent="0.45">
      <c r="A27" s="30" t="s">
        <v>19</v>
      </c>
      <c r="B27" s="29">
        <v>350</v>
      </c>
      <c r="C27" s="29">
        <v>160</v>
      </c>
      <c r="D27" s="37">
        <f>B27*C27</f>
        <v>56000</v>
      </c>
      <c r="F27" s="30"/>
      <c r="G27" s="29"/>
      <c r="H27" s="29"/>
      <c r="I27" s="41"/>
      <c r="K27" s="30" t="s">
        <v>20</v>
      </c>
      <c r="L27" s="29"/>
      <c r="M27" s="29"/>
      <c r="N27" s="37">
        <v>4000</v>
      </c>
      <c r="P27" s="50" t="s">
        <v>43</v>
      </c>
      <c r="Q27" s="49">
        <f>R23-Q25</f>
        <v>364222.19999999995</v>
      </c>
    </row>
    <row r="28" spans="1:18" x14ac:dyDescent="0.45">
      <c r="A28" s="30"/>
      <c r="B28" s="29"/>
      <c r="C28" s="29"/>
      <c r="D28" s="41"/>
      <c r="F28" s="30" t="s">
        <v>35</v>
      </c>
      <c r="G28" s="29"/>
      <c r="H28" s="29"/>
      <c r="I28" s="37">
        <v>4000</v>
      </c>
      <c r="K28" s="21" t="s">
        <v>69</v>
      </c>
      <c r="L28" s="12"/>
      <c r="M28" s="12"/>
      <c r="N28" s="38">
        <v>4500</v>
      </c>
      <c r="Q28" s="38"/>
      <c r="R28" s="60"/>
    </row>
    <row r="29" spans="1:18" x14ac:dyDescent="0.45">
      <c r="A29" s="30" t="s">
        <v>32</v>
      </c>
      <c r="B29" s="29"/>
      <c r="C29" s="29"/>
      <c r="D29" s="37">
        <v>7500</v>
      </c>
      <c r="F29" s="30" t="s">
        <v>52</v>
      </c>
      <c r="I29" s="38">
        <v>4500</v>
      </c>
      <c r="K29" s="21" t="s">
        <v>23</v>
      </c>
      <c r="L29" s="12"/>
      <c r="M29" s="12"/>
      <c r="N29" s="38">
        <v>35000</v>
      </c>
      <c r="R29" s="60"/>
    </row>
    <row r="30" spans="1:18" x14ac:dyDescent="0.45">
      <c r="A30" s="21" t="s">
        <v>21</v>
      </c>
      <c r="B30" s="12"/>
      <c r="C30" s="12"/>
      <c r="D30" s="38">
        <v>15000</v>
      </c>
      <c r="F30" s="21"/>
      <c r="G30" s="12"/>
      <c r="H30" s="12"/>
      <c r="I30" s="38"/>
      <c r="K30" s="12" t="s">
        <v>28</v>
      </c>
      <c r="L30" s="12">
        <v>12</v>
      </c>
      <c r="M30" s="12">
        <v>2000</v>
      </c>
      <c r="N30" s="38">
        <f>L30*M30</f>
        <v>24000</v>
      </c>
      <c r="P30" s="60" t="s">
        <v>73</v>
      </c>
      <c r="Q30" s="59">
        <v>240000</v>
      </c>
      <c r="R30" s="60"/>
    </row>
    <row r="31" spans="1:18" s="57" customFormat="1" x14ac:dyDescent="0.45">
      <c r="A31" s="21"/>
      <c r="D31" s="38"/>
      <c r="F31" s="21"/>
      <c r="I31" s="38"/>
      <c r="N31" s="38"/>
      <c r="R31" s="60"/>
    </row>
    <row r="32" spans="1:18" x14ac:dyDescent="0.45">
      <c r="A32" s="21" t="s">
        <v>22</v>
      </c>
      <c r="B32" s="12"/>
      <c r="C32" s="12"/>
      <c r="D32" s="38">
        <v>15000</v>
      </c>
      <c r="F32" s="12" t="s">
        <v>49</v>
      </c>
      <c r="G32" s="12"/>
      <c r="H32" s="12"/>
      <c r="I32" s="38">
        <v>5000</v>
      </c>
      <c r="K32" s="21" t="s">
        <v>39</v>
      </c>
      <c r="L32" s="12"/>
      <c r="M32" s="12"/>
      <c r="N32" s="38">
        <v>15000</v>
      </c>
      <c r="R32" s="29"/>
    </row>
    <row r="33" spans="1:18" ht="28.5" x14ac:dyDescent="0.45">
      <c r="A33" s="21"/>
      <c r="B33" s="12"/>
      <c r="C33" s="12"/>
      <c r="D33" s="38"/>
      <c r="I33" s="38"/>
      <c r="K33" s="21" t="s">
        <v>27</v>
      </c>
      <c r="L33" s="12"/>
      <c r="M33" s="12"/>
      <c r="N33" s="38">
        <v>12000</v>
      </c>
      <c r="P33" s="61" t="s">
        <v>70</v>
      </c>
      <c r="Q33" s="62">
        <v>20000</v>
      </c>
    </row>
    <row r="34" spans="1:18" ht="28.5" x14ac:dyDescent="0.45">
      <c r="A34" s="31" t="s">
        <v>17</v>
      </c>
      <c r="B34" s="29"/>
      <c r="C34" s="29"/>
      <c r="D34" s="40">
        <v>6000</v>
      </c>
      <c r="F34" s="21" t="s">
        <v>36</v>
      </c>
      <c r="G34" s="12"/>
      <c r="H34" s="12"/>
      <c r="I34" s="38">
        <v>12000</v>
      </c>
      <c r="K34" s="21"/>
      <c r="L34" s="12"/>
      <c r="M34" s="12"/>
      <c r="N34" s="38"/>
      <c r="P34" s="29" t="s">
        <v>75</v>
      </c>
      <c r="Q34" s="37">
        <v>100000</v>
      </c>
    </row>
    <row r="35" spans="1:18" x14ac:dyDescent="0.45">
      <c r="A35" s="12" t="s">
        <v>48</v>
      </c>
      <c r="B35" s="12"/>
      <c r="C35" s="12"/>
      <c r="D35" s="38">
        <v>22000</v>
      </c>
      <c r="F35" s="21"/>
      <c r="I35" s="38"/>
      <c r="K35" s="26" t="s">
        <v>65</v>
      </c>
      <c r="L35" s="10"/>
      <c r="M35" s="10"/>
      <c r="N35" s="10"/>
      <c r="O35" s="57"/>
    </row>
    <row r="36" spans="1:18" x14ac:dyDescent="0.45">
      <c r="A36" s="31" t="s">
        <v>62</v>
      </c>
      <c r="D36" s="38">
        <v>3500</v>
      </c>
      <c r="F36" s="21" t="s">
        <v>67</v>
      </c>
      <c r="G36" s="12"/>
      <c r="H36" s="12"/>
      <c r="I36" s="38">
        <v>1800</v>
      </c>
      <c r="O36" s="57"/>
      <c r="R36" s="29"/>
    </row>
    <row r="37" spans="1:18" x14ac:dyDescent="0.45">
      <c r="A37" s="31" t="s">
        <v>68</v>
      </c>
      <c r="D37" s="38">
        <v>20000</v>
      </c>
      <c r="I37" s="38"/>
      <c r="K37" s="21" t="s">
        <v>66</v>
      </c>
      <c r="N37" s="38">
        <v>5000</v>
      </c>
      <c r="P37" s="63" t="s">
        <v>71</v>
      </c>
      <c r="Q37" s="64"/>
    </row>
    <row r="38" spans="1:18" ht="28.5" x14ac:dyDescent="0.45">
      <c r="A38" s="21" t="s">
        <v>33</v>
      </c>
      <c r="D38" s="38">
        <v>15000</v>
      </c>
      <c r="F38" s="21" t="s">
        <v>47</v>
      </c>
      <c r="G38" s="12"/>
      <c r="H38" s="12"/>
      <c r="I38" s="38">
        <v>10000</v>
      </c>
      <c r="K38" s="21" t="s">
        <v>8</v>
      </c>
      <c r="L38" s="12"/>
      <c r="M38" s="12"/>
      <c r="N38" s="38">
        <v>20000</v>
      </c>
      <c r="P38" s="47"/>
      <c r="Q38" s="47"/>
    </row>
    <row r="39" spans="1:18" ht="28.5" x14ac:dyDescent="0.45">
      <c r="A39" s="21" t="s">
        <v>47</v>
      </c>
      <c r="B39" s="12"/>
      <c r="C39" s="12"/>
      <c r="D39" s="38">
        <v>10000</v>
      </c>
      <c r="I39" s="38"/>
      <c r="N39" s="38"/>
      <c r="P39" s="47" t="s">
        <v>41</v>
      </c>
      <c r="Q39" s="48">
        <v>30000</v>
      </c>
    </row>
    <row r="40" spans="1:18" x14ac:dyDescent="0.45">
      <c r="I40" s="38"/>
      <c r="K40" t="s">
        <v>42</v>
      </c>
      <c r="L40" s="37"/>
      <c r="M40" s="12"/>
      <c r="N40" s="38">
        <v>25000</v>
      </c>
      <c r="P40" s="47" t="s">
        <v>23</v>
      </c>
      <c r="Q40" s="48">
        <v>30000</v>
      </c>
    </row>
    <row r="41" spans="1:18" s="12" customFormat="1" x14ac:dyDescent="0.45">
      <c r="A41" s="21"/>
      <c r="D41" s="38"/>
      <c r="I41" s="38"/>
      <c r="L41" s="37"/>
      <c r="N41" s="38"/>
      <c r="P41" s="51" t="s">
        <v>53</v>
      </c>
      <c r="Q41" s="52">
        <v>200000</v>
      </c>
    </row>
    <row r="42" spans="1:18" x14ac:dyDescent="0.45">
      <c r="A42" s="34"/>
      <c r="B42" s="35"/>
      <c r="C42" s="35"/>
      <c r="D42" s="42">
        <f>SUM(D19:D39)</f>
        <v>338000</v>
      </c>
      <c r="F42" s="34"/>
      <c r="G42" s="35"/>
      <c r="H42" s="35"/>
      <c r="I42" s="42">
        <f>SUM(I19:I38)</f>
        <v>64700</v>
      </c>
      <c r="K42" s="34"/>
      <c r="L42" s="35"/>
      <c r="M42" s="35"/>
      <c r="N42" s="42">
        <f>SUM(N19:N40)</f>
        <v>227000</v>
      </c>
      <c r="P42" s="47"/>
      <c r="Q42" s="48"/>
    </row>
    <row r="43" spans="1:18" s="12" customFormat="1" x14ac:dyDescent="0.45">
      <c r="A43" s="30"/>
      <c r="B43" s="29"/>
      <c r="C43" s="29"/>
      <c r="D43" s="55"/>
      <c r="F43" s="30"/>
      <c r="G43" s="29"/>
      <c r="H43" s="29"/>
      <c r="I43" s="55"/>
      <c r="J43" s="29"/>
      <c r="K43" s="30"/>
      <c r="L43" s="29"/>
      <c r="M43" s="29"/>
      <c r="N43" s="55"/>
      <c r="P43" s="51" t="s">
        <v>44</v>
      </c>
      <c r="Q43" s="52">
        <v>200000</v>
      </c>
    </row>
    <row r="44" spans="1:18" s="12" customFormat="1" x14ac:dyDescent="0.45">
      <c r="A44" s="30"/>
      <c r="B44" s="29"/>
      <c r="C44" s="29"/>
      <c r="D44" s="55"/>
      <c r="F44" s="30"/>
      <c r="G44" s="29"/>
      <c r="H44" s="29"/>
      <c r="I44" s="55"/>
      <c r="J44" s="29"/>
      <c r="K44" s="30"/>
      <c r="L44" s="29"/>
      <c r="M44" s="29"/>
      <c r="N44" s="55"/>
      <c r="P44" s="51" t="s">
        <v>45</v>
      </c>
      <c r="Q44" s="52">
        <v>25000</v>
      </c>
    </row>
    <row r="45" spans="1:18" x14ac:dyDescent="0.45">
      <c r="P45" s="51" t="s">
        <v>64</v>
      </c>
      <c r="Q45" s="52">
        <v>12700</v>
      </c>
    </row>
    <row r="46" spans="1:18" x14ac:dyDescent="0.45">
      <c r="F46" s="12"/>
      <c r="G46" s="12"/>
      <c r="H46" s="12"/>
      <c r="P46" s="51" t="s">
        <v>54</v>
      </c>
      <c r="Q46" s="52">
        <v>1350</v>
      </c>
    </row>
    <row r="47" spans="1:18" x14ac:dyDescent="0.45">
      <c r="A47" s="66" t="s">
        <v>56</v>
      </c>
      <c r="B47" s="67"/>
      <c r="C47" s="12"/>
      <c r="D47" s="12"/>
      <c r="F47" s="12"/>
      <c r="G47" s="12"/>
      <c r="H47" s="12"/>
      <c r="P47" s="51"/>
      <c r="Q47" s="52"/>
    </row>
    <row r="48" spans="1:18" x14ac:dyDescent="0.45">
      <c r="A48" s="53"/>
      <c r="B48" s="53"/>
      <c r="C48" s="12"/>
      <c r="D48" s="12"/>
      <c r="F48" s="12"/>
      <c r="G48" s="12"/>
      <c r="H48" s="12"/>
      <c r="M48" s="38"/>
    </row>
    <row r="49" spans="1:18" x14ac:dyDescent="0.45">
      <c r="A49" s="54" t="s">
        <v>63</v>
      </c>
      <c r="B49" s="56">
        <v>40959</v>
      </c>
      <c r="C49" s="12"/>
      <c r="D49" s="12"/>
      <c r="R49" s="38"/>
    </row>
    <row r="50" spans="1:18" x14ac:dyDescent="0.45">
      <c r="A50" s="54" t="s">
        <v>58</v>
      </c>
      <c r="B50" s="56">
        <v>5408</v>
      </c>
      <c r="C50" s="12"/>
      <c r="D50" s="12"/>
      <c r="F50" s="12"/>
      <c r="G50" s="12"/>
      <c r="H50" s="12"/>
    </row>
    <row r="51" spans="1:18" x14ac:dyDescent="0.45">
      <c r="A51" s="54" t="s">
        <v>57</v>
      </c>
      <c r="B51" s="56">
        <v>4024</v>
      </c>
      <c r="C51" s="12"/>
      <c r="D51" s="12"/>
      <c r="F51" s="12"/>
      <c r="G51" s="12"/>
      <c r="H51" s="12"/>
    </row>
    <row r="52" spans="1:18" x14ac:dyDescent="0.45">
      <c r="A52" s="54"/>
      <c r="B52" s="56"/>
      <c r="C52" s="12"/>
      <c r="D52" s="12"/>
      <c r="F52" s="12"/>
      <c r="G52" s="12"/>
      <c r="H52" s="12"/>
    </row>
    <row r="53" spans="1:18" x14ac:dyDescent="0.45">
      <c r="A53" s="54" t="s">
        <v>60</v>
      </c>
      <c r="B53" s="56">
        <v>41565</v>
      </c>
      <c r="C53" s="12"/>
      <c r="D53" s="12"/>
      <c r="F53" s="12"/>
      <c r="G53" s="12"/>
      <c r="H53" s="12"/>
    </row>
    <row r="54" spans="1:18" x14ac:dyDescent="0.45">
      <c r="B54" s="38"/>
      <c r="C54" s="12"/>
      <c r="D54" s="12"/>
      <c r="F54" s="12"/>
      <c r="G54" s="12"/>
      <c r="H54" s="12"/>
      <c r="M54" s="12"/>
      <c r="N54" s="12"/>
      <c r="O54" s="12"/>
      <c r="P54" s="12"/>
      <c r="Q54" s="12"/>
      <c r="R54" s="12"/>
    </row>
    <row r="55" spans="1:18" x14ac:dyDescent="0.45">
      <c r="A55" s="47" t="s">
        <v>61</v>
      </c>
      <c r="B55" s="48">
        <f>SUM(B56:B60)</f>
        <v>34786</v>
      </c>
      <c r="C55" s="12"/>
      <c r="D55" s="12"/>
      <c r="M55" s="12"/>
      <c r="N55" s="12"/>
      <c r="O55" s="12"/>
      <c r="P55" s="12"/>
      <c r="Q55" s="12"/>
      <c r="R55" s="12"/>
    </row>
    <row r="56" spans="1:18" x14ac:dyDescent="0.45">
      <c r="A56" s="47"/>
      <c r="B56" s="48">
        <v>2942</v>
      </c>
      <c r="M56" s="12"/>
      <c r="N56" s="12"/>
      <c r="O56" s="12"/>
      <c r="P56" s="12"/>
      <c r="Q56" s="12"/>
      <c r="R56" s="12"/>
    </row>
    <row r="57" spans="1:18" x14ac:dyDescent="0.45">
      <c r="A57" s="47"/>
      <c r="B57" s="48">
        <v>6529</v>
      </c>
      <c r="M57" s="12"/>
      <c r="N57" s="12"/>
      <c r="O57" s="12"/>
      <c r="P57" s="12"/>
      <c r="Q57" s="12"/>
      <c r="R57" s="12"/>
    </row>
    <row r="58" spans="1:18" x14ac:dyDescent="0.45">
      <c r="A58" s="47"/>
      <c r="B58" s="48">
        <v>19874</v>
      </c>
      <c r="M58" s="12"/>
      <c r="N58" s="12"/>
      <c r="O58" s="12"/>
      <c r="P58" s="12"/>
      <c r="Q58" s="12"/>
      <c r="R58" s="12"/>
    </row>
    <row r="59" spans="1:18" x14ac:dyDescent="0.45">
      <c r="A59" s="47"/>
      <c r="B59" s="48">
        <v>3119</v>
      </c>
      <c r="M59" s="12"/>
      <c r="N59" s="12"/>
      <c r="O59" s="12"/>
      <c r="P59" s="12"/>
      <c r="Q59" s="12"/>
      <c r="R59" s="12"/>
    </row>
    <row r="60" spans="1:18" x14ac:dyDescent="0.45">
      <c r="A60" s="47" t="s">
        <v>59</v>
      </c>
      <c r="B60" s="48">
        <v>2322</v>
      </c>
      <c r="M60" s="12"/>
      <c r="N60" s="12"/>
      <c r="O60" s="12"/>
      <c r="P60" s="12"/>
      <c r="Q60" s="12"/>
      <c r="R60" s="12"/>
    </row>
    <row r="61" spans="1:18" x14ac:dyDescent="0.45">
      <c r="J61" s="29"/>
      <c r="K61" s="65"/>
      <c r="L61" s="65"/>
      <c r="O61" s="12"/>
      <c r="P61" s="12"/>
      <c r="Q61" s="12"/>
      <c r="R61" s="12"/>
    </row>
    <row r="62" spans="1:18" x14ac:dyDescent="0.45">
      <c r="A62" t="s">
        <v>46</v>
      </c>
      <c r="B62" s="58">
        <f>SUM(B49:B55)</f>
        <v>126742</v>
      </c>
      <c r="J62" s="29"/>
      <c r="K62" s="12"/>
      <c r="L62" s="12"/>
      <c r="M62" s="12"/>
      <c r="N62" s="12"/>
      <c r="O62" s="12"/>
      <c r="P62" s="12"/>
      <c r="Q62" s="12"/>
      <c r="R62" s="12"/>
    </row>
    <row r="63" spans="1:18" x14ac:dyDescent="0.45">
      <c r="J63" s="29"/>
      <c r="K63" s="12"/>
      <c r="L63" s="12"/>
      <c r="M63" s="12"/>
      <c r="N63" s="12"/>
      <c r="O63" s="12"/>
      <c r="P63" s="12"/>
      <c r="Q63" s="12"/>
      <c r="R63" s="12"/>
    </row>
    <row r="64" spans="1:18" x14ac:dyDescent="0.45">
      <c r="M64" s="12"/>
      <c r="N64" s="12"/>
      <c r="O64" s="12"/>
      <c r="P64" s="12"/>
      <c r="Q64" s="12"/>
      <c r="R64" s="12"/>
    </row>
    <row r="65" spans="11:18" x14ac:dyDescent="0.45">
      <c r="M65" s="12"/>
      <c r="N65" s="12"/>
      <c r="O65" s="12"/>
      <c r="P65" s="12"/>
      <c r="Q65" s="12"/>
      <c r="R65" s="12"/>
    </row>
    <row r="66" spans="11:18" x14ac:dyDescent="0.45">
      <c r="M66" s="12"/>
      <c r="N66" s="12"/>
      <c r="O66" s="12"/>
      <c r="P66" s="12"/>
      <c r="Q66" s="12"/>
      <c r="R66" s="12"/>
    </row>
    <row r="67" spans="11:18" x14ac:dyDescent="0.45">
      <c r="M67" s="12"/>
      <c r="N67" s="12"/>
      <c r="O67" s="12"/>
      <c r="P67" s="12"/>
      <c r="Q67" s="12"/>
      <c r="R67" s="12"/>
    </row>
    <row r="68" spans="11:18" x14ac:dyDescent="0.45">
      <c r="N68" s="12"/>
      <c r="O68" s="12"/>
      <c r="P68" s="12"/>
      <c r="Q68" s="12"/>
      <c r="R68" s="12"/>
    </row>
    <row r="69" spans="11:18" x14ac:dyDescent="0.45">
      <c r="N69" s="12"/>
      <c r="O69" s="12"/>
      <c r="P69" s="12"/>
      <c r="Q69" s="12"/>
      <c r="R69" s="12"/>
    </row>
    <row r="70" spans="11:18" x14ac:dyDescent="0.45">
      <c r="N70" s="12"/>
      <c r="O70" s="12"/>
      <c r="P70" s="12"/>
      <c r="Q70" s="12"/>
      <c r="R70" s="12"/>
    </row>
    <row r="71" spans="11:18" x14ac:dyDescent="0.45">
      <c r="N71" s="12"/>
      <c r="O71" s="12"/>
      <c r="P71" s="12"/>
      <c r="Q71" s="12"/>
      <c r="R71" s="12"/>
    </row>
    <row r="72" spans="11:18" x14ac:dyDescent="0.45">
      <c r="N72" s="12"/>
      <c r="O72" s="12"/>
      <c r="P72" s="12"/>
      <c r="Q72" s="12"/>
      <c r="R72" s="12"/>
    </row>
    <row r="73" spans="11:18" x14ac:dyDescent="0.45">
      <c r="N73" s="12"/>
      <c r="O73" s="12"/>
      <c r="P73" s="12"/>
      <c r="Q73" s="12"/>
      <c r="R73" s="12"/>
    </row>
    <row r="74" spans="11:18" x14ac:dyDescent="0.45">
      <c r="N74" s="12"/>
      <c r="O74" s="12"/>
      <c r="P74" s="12"/>
      <c r="Q74" s="12"/>
      <c r="R74" s="12"/>
    </row>
    <row r="75" spans="11:18" x14ac:dyDescent="0.45">
      <c r="K75" s="29"/>
      <c r="L75" s="37"/>
      <c r="N75" s="12"/>
      <c r="O75" s="12"/>
      <c r="P75" s="12"/>
      <c r="Q75" s="12"/>
      <c r="R75" s="12"/>
    </row>
    <row r="76" spans="11:18" x14ac:dyDescent="0.45">
      <c r="N76" s="12"/>
      <c r="O76" s="12"/>
      <c r="P76" s="12"/>
      <c r="Q76" s="12"/>
      <c r="R76" s="12"/>
    </row>
  </sheetData>
  <mergeCells count="3">
    <mergeCell ref="P37:Q37"/>
    <mergeCell ref="K61:L61"/>
    <mergeCell ref="A47:B4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bathrooms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gr</dc:creator>
  <cp:lastModifiedBy>Nirav</cp:lastModifiedBy>
  <cp:lastPrinted>2026-04-04T20:43:13Z</cp:lastPrinted>
  <dcterms:created xsi:type="dcterms:W3CDTF">2024-10-16T03:28:50Z</dcterms:created>
  <dcterms:modified xsi:type="dcterms:W3CDTF">2026-04-04T20:44:24Z</dcterms:modified>
</cp:coreProperties>
</file>